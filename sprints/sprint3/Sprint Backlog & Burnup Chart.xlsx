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College Docs\Software Engineering II\Project\Group5NutritionTracker\sprints\sprint3\"/>
    </mc:Choice>
  </mc:AlternateContent>
  <xr:revisionPtr revIDLastSave="0" documentId="13_ncr:1_{9A92A358-D101-4E61-9267-E348E268418C}" xr6:coauthVersionLast="47" xr6:coauthVersionMax="47" xr10:uidLastSave="{00000000-0000-0000-0000-000000000000}"/>
  <bookViews>
    <workbookView xWindow="40635" yWindow="4395" windowWidth="30405" windowHeight="164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42" i="1"/>
  <c r="G41" i="1"/>
  <c r="G40" i="1"/>
  <c r="H35" i="1"/>
  <c r="I35" i="1" s="1"/>
  <c r="J35" i="1" s="1"/>
  <c r="K35" i="1" s="1"/>
  <c r="G35" i="1"/>
  <c r="I36" i="1" s="1"/>
  <c r="I40" i="1" l="1"/>
  <c r="I41" i="1"/>
  <c r="I39" i="1"/>
  <c r="I42" i="1"/>
  <c r="K36" i="1"/>
  <c r="H36" i="1"/>
  <c r="J36" i="1"/>
</calcChain>
</file>

<file path=xl/sharedStrings.xml><?xml version="1.0" encoding="utf-8"?>
<sst xmlns="http://schemas.openxmlformats.org/spreadsheetml/2006/main" count="86" uniqueCount="39">
  <si>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</si>
  <si>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</si>
  <si>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</si>
  <si>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</si>
  <si>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</si>
  <si>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</si>
  <si>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</si>
  <si>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</si>
  <si>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</si>
  <si>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Assigned To</t>
  </si>
  <si>
    <t>Add Food Item To A Day</t>
  </si>
  <si>
    <t>Search Process Client Side</t>
  </si>
  <si>
    <t>Hookup Add Buttons to Search Page</t>
  </si>
  <si>
    <t>Yeni</t>
  </si>
  <si>
    <t>Justin</t>
  </si>
  <si>
    <t>Emi</t>
  </si>
  <si>
    <t>Victor</t>
  </si>
  <si>
    <t>Person</t>
  </si>
  <si>
    <t>Current Hours</t>
  </si>
  <si>
    <t>Total Hours For Sprint</t>
  </si>
  <si>
    <t>Difference</t>
  </si>
  <si>
    <t>Priority</t>
  </si>
  <si>
    <t>Edit Diet</t>
  </si>
  <si>
    <t>Edit Diet UI Page</t>
  </si>
  <si>
    <t>Edit Diet Codebehind</t>
  </si>
  <si>
    <t>Edit Diet Process Client Side</t>
  </si>
  <si>
    <t>Edit Diet Process Server Side</t>
  </si>
  <si>
    <t>Account Menu UI</t>
  </si>
  <si>
    <t>Completed By</t>
  </si>
  <si>
    <t>Updated To</t>
  </si>
  <si>
    <t>Update HomeDashboard UI</t>
  </si>
  <si>
    <t>Create Calculations Model</t>
  </si>
  <si>
    <t>Update HomeDashboard Codebehind</t>
  </si>
  <si>
    <t>Add Food Codebehind</t>
  </si>
  <si>
    <t>Display Daily Stats</t>
  </si>
  <si>
    <t>Update FoodLog Process Client Side</t>
  </si>
  <si>
    <t>Update FoodLog Process Server Side</t>
  </si>
  <si>
    <t>Change Date of Food Log Client Side</t>
  </si>
  <si>
    <t>Change Date of Food Log Server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</si>
</sst>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1" fillId="5" borderId="1" xfId="0" applyFont="1" applyFill="1" applyBorder="1" applyAlignment="1">
      <alignment horizontal="right"/>
    </xf>
    <xf numFmtId="0" fontId="0" fillId="5" borderId="1" xfId="0" applyFill="1" applyBorder="1"/>
    <xf numFmtId="0" fontId="0" fillId="7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Sheet1!$H$35:$K$35</c:f>
              <c:numCache>
                <c:formatCode>General</c:formatCode>
                <c:ptCount val="4"/>
                <c:pt idx="0">
                  <c:v>9.5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7-4DCE-854F-20166BFB91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Sheet1!$H$36:$K$36</c:f>
              <c:numCache>
                <c:formatCode>General</c:formatCode>
                <c:ptCount val="4"/>
                <c:pt idx="0">
                  <c:v>40.5</c:v>
                </c:pt>
                <c:pt idx="1">
                  <c:v>40.5</c:v>
                </c:pt>
                <c:pt idx="2">
                  <c:v>40.5</c:v>
                </c:pt>
                <c:pt idx="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7-4DCE-854F-20166BF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245824"/>
        <c:axId val="2056242944"/>
      </c:lineChart>
      <c:catAx>
        <c:axId val="205624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2944"/>
        <c:crosses val="autoZero"/>
        <c:auto val="1"/>
        <c:lblAlgn val="ctr"/>
        <c:lblOffset val="100"/>
        <c:noMultiLvlLbl val="0"/>
      </c:catAx>
      <c:valAx>
        <c:axId val="20562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2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</xdr:row>
      <xdr:rowOff>0</xdr:rowOff>
    </xdr:from>
    <xdr:to>
      <xdr:col>19</xdr:col>
      <xdr:colOff>342900</xdr:colOff>
      <xdr:row>19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="140" zoomScaleNormal="140" workbookViewId="0">
      <selection activeCell="F3" sqref="F3:F15"/>
    </sheetView>
  </sheetViews>
  <sheetFormatPr defaultRowHeight="15" x14ac:dyDescent="0.25"/>
  <cols>
    <col min="1" max="1" width="11.5703125" bestFit="1" customWidth="1"/>
    <col min="2" max="2" width="11.5703125" customWidth="1"/>
    <col min="3" max="3" width="13.5703125" bestFit="1" customWidth="1"/>
    <col min="4" max="4" width="11.5703125" customWidth="1"/>
    <col min="5" max="5" width="51.42578125" customWidth="1"/>
    <col min="6" max="6" width="44" customWidth="1"/>
    <col min="7" max="7" width="14.42578125" bestFit="1" customWidth="1"/>
    <col min="9" max="9" width="9.85546875" customWidth="1"/>
    <col min="10" max="10" width="10.7109375" customWidth="1"/>
  </cols>
  <sheetData>
    <row r="1" spans="1:11" x14ac:dyDescent="0.25">
      <c r="A1" s="12" t="s">
        <v>9</v>
      </c>
      <c r="B1" s="13" t="s">
        <v>29</v>
      </c>
      <c r="C1" s="13" t="s">
        <v>28</v>
      </c>
      <c r="D1" s="13" t="s">
        <v>21</v>
      </c>
      <c r="E1" s="11" t="s">
        <v>0</v>
      </c>
      <c r="F1" s="11" t="s">
        <v>1</v>
      </c>
      <c r="G1" s="11" t="s">
        <v>2</v>
      </c>
      <c r="H1" s="10" t="s">
        <v>7</v>
      </c>
      <c r="I1" s="10"/>
      <c r="J1" s="10"/>
      <c r="K1" s="10"/>
    </row>
    <row r="2" spans="1:11" x14ac:dyDescent="0.25">
      <c r="A2" s="12"/>
      <c r="B2" s="14"/>
      <c r="C2" s="14"/>
      <c r="D2" s="14"/>
      <c r="E2" s="11"/>
      <c r="F2" s="11"/>
      <c r="G2" s="11"/>
      <c r="H2" s="1" t="s">
        <v>3</v>
      </c>
      <c r="I2" s="1" t="s">
        <v>4</v>
      </c>
      <c r="J2" s="1" t="s">
        <v>5</v>
      </c>
      <c r="K2" s="1" t="s">
        <v>6</v>
      </c>
    </row>
    <row r="3" spans="1:11" x14ac:dyDescent="0.25">
      <c r="A3" s="6" t="s">
        <v>13</v>
      </c>
      <c r="B3" s="9"/>
      <c r="C3" s="6" t="s">
        <v>13</v>
      </c>
      <c r="D3" s="9">
        <v>1.1000000000000001</v>
      </c>
      <c r="E3" s="6" t="s">
        <v>10</v>
      </c>
      <c r="F3" s="9" t="s">
        <v>12</v>
      </c>
      <c r="G3" s="6">
        <v>3</v>
      </c>
      <c r="H3" s="3">
        <v>3</v>
      </c>
      <c r="I3" s="3">
        <v>0</v>
      </c>
      <c r="J3" s="3"/>
      <c r="K3" s="3"/>
    </row>
    <row r="4" spans="1:11" x14ac:dyDescent="0.25">
      <c r="A4" s="6" t="s">
        <v>14</v>
      </c>
      <c r="B4" s="9"/>
      <c r="C4" s="6" t="s">
        <v>14</v>
      </c>
      <c r="D4" s="9">
        <v>1.1000000000000001</v>
      </c>
      <c r="E4" s="6" t="s">
        <v>10</v>
      </c>
      <c r="F4" s="9" t="s">
        <v>11</v>
      </c>
      <c r="G4" s="6">
        <v>2.5</v>
      </c>
      <c r="H4" s="3">
        <v>2</v>
      </c>
      <c r="I4" s="3">
        <v>0</v>
      </c>
      <c r="J4" s="3"/>
      <c r="K4" s="3"/>
    </row>
    <row r="5" spans="1:11" x14ac:dyDescent="0.25">
      <c r="A5" s="6" t="s">
        <v>13</v>
      </c>
      <c r="B5" s="9"/>
      <c r="C5" s="6" t="s">
        <v>13</v>
      </c>
      <c r="D5" s="9">
        <v>1.2</v>
      </c>
      <c r="E5" s="6" t="s">
        <v>10</v>
      </c>
      <c r="F5" s="9" t="s">
        <v>35</v>
      </c>
      <c r="G5" s="6">
        <v>2.5</v>
      </c>
      <c r="H5" s="3">
        <v>3</v>
      </c>
      <c r="I5" s="3">
        <v>0</v>
      </c>
      <c r="J5" s="3"/>
      <c r="K5" s="3"/>
    </row>
    <row r="6" spans="1:11" x14ac:dyDescent="0.25">
      <c r="A6" s="6" t="s">
        <v>14</v>
      </c>
      <c r="B6" s="9"/>
      <c r="C6" s="6" t="s">
        <v>14</v>
      </c>
      <c r="D6" s="9">
        <v>1.2</v>
      </c>
      <c r="E6" s="6" t="s">
        <v>10</v>
      </c>
      <c r="F6" s="9" t="s">
        <v>36</v>
      </c>
      <c r="G6" s="6">
        <v>2.5</v>
      </c>
      <c r="H6" s="3">
        <v>0</v>
      </c>
      <c r="I6" s="3">
        <v>1.5</v>
      </c>
      <c r="J6" s="3"/>
      <c r="K6" s="3"/>
    </row>
    <row r="7" spans="1:11" x14ac:dyDescent="0.25">
      <c r="A7" s="6" t="s">
        <v>13</v>
      </c>
      <c r="B7" s="9"/>
      <c r="C7" s="6" t="s">
        <v>13</v>
      </c>
      <c r="D7" s="9">
        <v>1.3</v>
      </c>
      <c r="E7" s="6" t="s">
        <v>10</v>
      </c>
      <c r="F7" s="9" t="s">
        <v>33</v>
      </c>
      <c r="G7" s="6">
        <v>3</v>
      </c>
      <c r="H7" s="3">
        <v>0</v>
      </c>
      <c r="I7" s="3">
        <v>2</v>
      </c>
      <c r="J7" s="3"/>
      <c r="K7" s="3"/>
    </row>
    <row r="8" spans="1:11" x14ac:dyDescent="0.25">
      <c r="A8" s="6" t="s">
        <v>15</v>
      </c>
      <c r="B8" s="9"/>
      <c r="C8" s="6" t="s">
        <v>15</v>
      </c>
      <c r="D8" s="9">
        <v>1.4</v>
      </c>
      <c r="E8" s="6" t="s">
        <v>10</v>
      </c>
      <c r="F8" s="9" t="s">
        <v>37</v>
      </c>
      <c r="G8" s="6">
        <v>2</v>
      </c>
      <c r="H8" s="3"/>
      <c r="I8" s="3"/>
      <c r="J8" s="3"/>
      <c r="K8" s="3"/>
    </row>
    <row r="9" spans="1:11" x14ac:dyDescent="0.25">
      <c r="A9" s="6" t="s">
        <v>16</v>
      </c>
      <c r="B9" s="9" t="s">
        <v>14</v>
      </c>
      <c r="C9" s="6" t="s">
        <v>14</v>
      </c>
      <c r="D9" s="9">
        <v>1.4</v>
      </c>
      <c r="E9" s="6" t="s">
        <v>10</v>
      </c>
      <c r="F9" s="9" t="s">
        <v>38</v>
      </c>
      <c r="G9" s="6">
        <v>2</v>
      </c>
      <c r="H9" s="3">
        <v>0</v>
      </c>
      <c r="I9" s="3">
        <v>1.5</v>
      </c>
      <c r="J9" s="3"/>
      <c r="K9" s="3"/>
    </row>
    <row r="10" spans="1:11" x14ac:dyDescent="0.25">
      <c r="A10" s="6" t="s">
        <v>14</v>
      </c>
      <c r="B10" s="9"/>
      <c r="C10" s="6" t="s">
        <v>14</v>
      </c>
      <c r="D10" s="9">
        <v>2.1</v>
      </c>
      <c r="E10" s="6" t="s">
        <v>34</v>
      </c>
      <c r="F10" s="9" t="s">
        <v>30</v>
      </c>
      <c r="G10" s="6">
        <v>3</v>
      </c>
      <c r="H10" s="3">
        <v>1.5</v>
      </c>
      <c r="I10" s="3">
        <v>0</v>
      </c>
      <c r="J10" s="3"/>
      <c r="K10" s="3"/>
    </row>
    <row r="11" spans="1:11" x14ac:dyDescent="0.25">
      <c r="A11" s="6" t="s">
        <v>15</v>
      </c>
      <c r="B11" s="9"/>
      <c r="C11" s="6" t="s">
        <v>15</v>
      </c>
      <c r="D11" s="9">
        <v>2.1</v>
      </c>
      <c r="E11" s="6" t="s">
        <v>34</v>
      </c>
      <c r="F11" s="9" t="s">
        <v>31</v>
      </c>
      <c r="G11" s="6">
        <v>2</v>
      </c>
      <c r="H11" s="3"/>
      <c r="I11" s="3"/>
      <c r="J11" s="3"/>
      <c r="K11" s="3"/>
    </row>
    <row r="12" spans="1:11" x14ac:dyDescent="0.25">
      <c r="A12" s="6" t="s">
        <v>13</v>
      </c>
      <c r="B12" s="9"/>
      <c r="C12" s="6" t="s">
        <v>15</v>
      </c>
      <c r="D12" s="9">
        <v>2.2000000000000002</v>
      </c>
      <c r="E12" s="6" t="s">
        <v>34</v>
      </c>
      <c r="F12" s="9" t="s">
        <v>32</v>
      </c>
      <c r="G12" s="6">
        <v>3</v>
      </c>
      <c r="H12" s="3"/>
      <c r="I12" s="3"/>
      <c r="J12" s="3"/>
      <c r="K12" s="3"/>
    </row>
    <row r="13" spans="1:11" x14ac:dyDescent="0.25">
      <c r="A13" s="6" t="s">
        <v>16</v>
      </c>
      <c r="B13" s="9" t="s">
        <v>13</v>
      </c>
      <c r="C13" s="6" t="s">
        <v>13</v>
      </c>
      <c r="D13" s="9">
        <v>3.1</v>
      </c>
      <c r="E13" s="6" t="s">
        <v>22</v>
      </c>
      <c r="F13" s="9" t="s">
        <v>27</v>
      </c>
      <c r="G13" s="6">
        <v>5</v>
      </c>
      <c r="H13" s="3">
        <v>0</v>
      </c>
      <c r="I13" s="3">
        <v>3</v>
      </c>
      <c r="J13" s="3"/>
      <c r="K13" s="3"/>
    </row>
    <row r="14" spans="1:11" x14ac:dyDescent="0.25">
      <c r="A14" s="6" t="s">
        <v>14</v>
      </c>
      <c r="B14" s="9"/>
      <c r="C14" s="6" t="s">
        <v>14</v>
      </c>
      <c r="D14" s="9">
        <v>3.1</v>
      </c>
      <c r="E14" s="6" t="s">
        <v>22</v>
      </c>
      <c r="F14" s="9" t="s">
        <v>25</v>
      </c>
      <c r="G14" s="6">
        <v>2.5</v>
      </c>
      <c r="H14" s="3">
        <v>0</v>
      </c>
      <c r="I14" s="3">
        <v>1.5</v>
      </c>
      <c r="J14" s="3"/>
      <c r="K14" s="3"/>
    </row>
    <row r="15" spans="1:11" x14ac:dyDescent="0.25">
      <c r="A15" s="6" t="s">
        <v>15</v>
      </c>
      <c r="B15" s="9" t="s">
        <v>14</v>
      </c>
      <c r="C15" s="6" t="s">
        <v>14</v>
      </c>
      <c r="D15" s="9">
        <v>3.1</v>
      </c>
      <c r="E15" s="6" t="s">
        <v>22</v>
      </c>
      <c r="F15" s="9" t="s">
        <v>26</v>
      </c>
      <c r="G15" s="6">
        <v>2.5</v>
      </c>
      <c r="H15" s="3">
        <v>0</v>
      </c>
      <c r="I15" s="3">
        <v>1.5</v>
      </c>
      <c r="J15" s="3"/>
      <c r="K15" s="3"/>
    </row>
    <row r="16" spans="1:11" x14ac:dyDescent="0.25">
      <c r="A16" s="6" t="s">
        <v>16</v>
      </c>
      <c r="B16" s="9" t="s">
        <v>13</v>
      </c>
      <c r="C16" s="6" t="s">
        <v>13</v>
      </c>
      <c r="D16" s="9">
        <v>3.1</v>
      </c>
      <c r="E16" s="6" t="s">
        <v>22</v>
      </c>
      <c r="F16" s="9" t="s">
        <v>23</v>
      </c>
      <c r="G16" s="6">
        <v>2</v>
      </c>
      <c r="H16" s="3">
        <v>0</v>
      </c>
      <c r="I16" s="3">
        <v>2</v>
      </c>
      <c r="J16" s="3"/>
      <c r="K16" s="3"/>
    </row>
    <row r="17" spans="1:11" x14ac:dyDescent="0.25">
      <c r="A17" s="6" t="s">
        <v>15</v>
      </c>
      <c r="B17" s="9" t="s">
        <v>13</v>
      </c>
      <c r="C17" s="6" t="s">
        <v>13</v>
      </c>
      <c r="D17" s="9">
        <v>3.2</v>
      </c>
      <c r="E17" s="6" t="s">
        <v>22</v>
      </c>
      <c r="F17" s="9" t="s">
        <v>24</v>
      </c>
      <c r="G17" s="6">
        <v>3</v>
      </c>
      <c r="H17" s="3">
        <v>0</v>
      </c>
      <c r="I17" s="3">
        <v>2</v>
      </c>
      <c r="J17" s="3"/>
      <c r="K17" s="3"/>
    </row>
    <row r="18" spans="1:11" x14ac:dyDescent="0.25">
      <c r="A18" s="6"/>
      <c r="B18" s="9"/>
      <c r="C18" s="6"/>
      <c r="D18" s="9"/>
      <c r="E18" s="6"/>
      <c r="F18" s="9"/>
      <c r="G18" s="6"/>
      <c r="H18" s="3"/>
      <c r="I18" s="3"/>
      <c r="J18" s="3"/>
      <c r="K18" s="3"/>
    </row>
    <row r="19" spans="1:11" x14ac:dyDescent="0.25">
      <c r="A19" s="6"/>
      <c r="B19" s="9"/>
      <c r="C19" s="6"/>
      <c r="D19" s="9"/>
      <c r="E19" s="6"/>
      <c r="F19" s="9"/>
      <c r="G19" s="6"/>
      <c r="H19" s="3"/>
      <c r="I19" s="3"/>
      <c r="J19" s="3"/>
      <c r="K19" s="3"/>
    </row>
    <row r="20" spans="1:11" x14ac:dyDescent="0.25">
      <c r="A20" s="6"/>
      <c r="B20" s="9"/>
      <c r="C20" s="6"/>
      <c r="D20" s="9"/>
      <c r="E20" s="6"/>
      <c r="F20" s="9"/>
      <c r="G20" s="6"/>
      <c r="H20" s="3"/>
      <c r="I20" s="3"/>
      <c r="J20" s="3"/>
      <c r="K20" s="3"/>
    </row>
    <row r="21" spans="1:11" x14ac:dyDescent="0.25">
      <c r="A21" s="6"/>
      <c r="B21" s="9"/>
      <c r="C21" s="6"/>
      <c r="D21" s="9"/>
      <c r="E21" s="6"/>
      <c r="F21" s="9"/>
      <c r="G21" s="6"/>
      <c r="H21" s="3"/>
      <c r="I21" s="3"/>
      <c r="J21" s="3"/>
      <c r="K21" s="3"/>
    </row>
    <row r="22" spans="1:11" x14ac:dyDescent="0.25">
      <c r="A22" s="6"/>
      <c r="B22" s="9"/>
      <c r="C22" s="6"/>
      <c r="D22" s="9"/>
      <c r="E22" s="6"/>
      <c r="F22" s="9"/>
      <c r="G22" s="6"/>
      <c r="H22" s="3"/>
      <c r="I22" s="3"/>
      <c r="J22" s="3"/>
      <c r="K22" s="3"/>
    </row>
    <row r="23" spans="1:11" x14ac:dyDescent="0.25">
      <c r="A23" s="6"/>
      <c r="B23" s="9"/>
      <c r="C23" s="6"/>
      <c r="D23" s="9"/>
      <c r="E23" s="6"/>
      <c r="F23" s="9"/>
      <c r="G23" s="6"/>
      <c r="H23" s="3"/>
      <c r="I23" s="3"/>
      <c r="J23" s="3"/>
      <c r="K23" s="3"/>
    </row>
    <row r="24" spans="1:11" x14ac:dyDescent="0.25">
      <c r="A24" s="6"/>
      <c r="B24" s="9"/>
      <c r="C24" s="6"/>
      <c r="D24" s="9"/>
      <c r="E24" s="6"/>
      <c r="F24" s="9"/>
      <c r="G24" s="6"/>
      <c r="H24" s="3"/>
      <c r="I24" s="3"/>
      <c r="J24" s="3"/>
      <c r="K24" s="3"/>
    </row>
    <row r="25" spans="1:11" x14ac:dyDescent="0.25">
      <c r="A25" s="6"/>
      <c r="B25" s="9"/>
      <c r="C25" s="6"/>
      <c r="D25" s="9"/>
      <c r="E25" s="6"/>
      <c r="F25" s="9"/>
      <c r="G25" s="6"/>
      <c r="H25" s="3"/>
      <c r="I25" s="3"/>
      <c r="J25" s="3"/>
      <c r="K25" s="3"/>
    </row>
    <row r="26" spans="1:11" x14ac:dyDescent="0.25">
      <c r="A26" s="6"/>
      <c r="B26" s="9"/>
      <c r="C26" s="6"/>
      <c r="D26" s="9"/>
      <c r="E26" s="6"/>
      <c r="F26" s="9"/>
      <c r="G26" s="6"/>
      <c r="H26" s="3"/>
      <c r="I26" s="3"/>
      <c r="J26" s="3"/>
      <c r="K26" s="3"/>
    </row>
    <row r="27" spans="1:11" x14ac:dyDescent="0.25">
      <c r="A27" s="6"/>
      <c r="B27" s="9"/>
      <c r="C27" s="6"/>
      <c r="D27" s="9"/>
      <c r="E27" s="6"/>
      <c r="F27" s="9"/>
      <c r="G27" s="6"/>
      <c r="H27" s="3"/>
      <c r="I27" s="3"/>
      <c r="J27" s="3"/>
      <c r="K27" s="3"/>
    </row>
    <row r="28" spans="1:11" x14ac:dyDescent="0.25">
      <c r="A28" s="6"/>
      <c r="B28" s="9"/>
      <c r="C28" s="6"/>
      <c r="D28" s="9"/>
      <c r="E28" s="6"/>
      <c r="F28" s="9"/>
      <c r="G28" s="6"/>
      <c r="H28" s="3"/>
      <c r="I28" s="3"/>
      <c r="J28" s="3"/>
      <c r="K28" s="3"/>
    </row>
    <row r="29" spans="1:11" x14ac:dyDescent="0.25">
      <c r="A29" s="6"/>
      <c r="B29" s="9"/>
      <c r="C29" s="6"/>
      <c r="D29" s="9"/>
      <c r="E29" s="6"/>
      <c r="F29" s="9"/>
      <c r="G29" s="6"/>
      <c r="H29" s="3"/>
      <c r="I29" s="3"/>
      <c r="J29" s="3"/>
      <c r="K29" s="3"/>
    </row>
    <row r="30" spans="1:11" x14ac:dyDescent="0.25">
      <c r="A30" s="6"/>
      <c r="B30" s="9"/>
      <c r="C30" s="6"/>
      <c r="D30" s="9"/>
      <c r="E30" s="6"/>
      <c r="F30" s="9"/>
      <c r="G30" s="6"/>
      <c r="H30" s="3"/>
      <c r="I30" s="3"/>
      <c r="J30" s="3"/>
      <c r="K30" s="3"/>
    </row>
    <row r="31" spans="1:11" x14ac:dyDescent="0.25">
      <c r="A31" s="6"/>
      <c r="B31" s="9"/>
      <c r="C31" s="6"/>
      <c r="D31" s="9"/>
      <c r="E31" s="6"/>
      <c r="F31" s="9"/>
      <c r="G31" s="6"/>
      <c r="H31" s="3"/>
      <c r="I31" s="3"/>
      <c r="J31" s="3"/>
      <c r="K31" s="3"/>
    </row>
    <row r="32" spans="1:11" x14ac:dyDescent="0.25">
      <c r="A32" s="6"/>
      <c r="B32" s="9"/>
      <c r="C32" s="6"/>
      <c r="D32" s="9"/>
      <c r="E32" s="6"/>
      <c r="F32" s="9"/>
      <c r="G32" s="6"/>
      <c r="H32" s="3"/>
      <c r="I32" s="3"/>
      <c r="J32" s="3"/>
      <c r="K32" s="3"/>
    </row>
    <row r="33" spans="1:11" x14ac:dyDescent="0.25">
      <c r="A33" s="6"/>
      <c r="B33" s="9"/>
      <c r="C33" s="6"/>
      <c r="D33" s="9"/>
      <c r="E33" s="6"/>
      <c r="F33" s="9"/>
      <c r="G33" s="6"/>
      <c r="H33" s="3"/>
      <c r="I33" s="3"/>
      <c r="J33" s="3"/>
      <c r="K33" s="3"/>
    </row>
    <row r="34" spans="1:11" x14ac:dyDescent="0.25">
      <c r="A34" s="6"/>
      <c r="B34" s="9"/>
      <c r="C34" s="6"/>
      <c r="D34" s="9"/>
      <c r="E34" s="6"/>
      <c r="F34" s="9"/>
      <c r="G34" s="6"/>
      <c r="H34" s="3"/>
      <c r="I34" s="3"/>
      <c r="J34" s="3"/>
      <c r="K34" s="3"/>
    </row>
    <row r="35" spans="1:11" x14ac:dyDescent="0.25">
      <c r="A35" s="2"/>
      <c r="B35" s="2"/>
      <c r="C35" s="2"/>
      <c r="D35" s="2"/>
      <c r="E35" s="2"/>
      <c r="F35" s="4" t="s">
        <v>8</v>
      </c>
      <c r="G35" s="5">
        <f>SUM(G3:G34)</f>
        <v>40.5</v>
      </c>
      <c r="H35" s="5">
        <f>SUM(H3:H34)</f>
        <v>9.5</v>
      </c>
      <c r="I35" s="5">
        <f>SUM(I3:I34, H35)</f>
        <v>24.5</v>
      </c>
      <c r="J35" s="5">
        <f>SUM(J3:J34, I35)</f>
        <v>24.5</v>
      </c>
      <c r="K35" s="5">
        <f>SUM(K3:K34, J35)</f>
        <v>24.5</v>
      </c>
    </row>
    <row r="36" spans="1:11" x14ac:dyDescent="0.25">
      <c r="G36">
        <v>96</v>
      </c>
      <c r="H36">
        <f>$G$35</f>
        <v>40.5</v>
      </c>
      <c r="I36">
        <f t="shared" ref="I36:K36" si="0">$G$35</f>
        <v>40.5</v>
      </c>
      <c r="J36">
        <f t="shared" si="0"/>
        <v>40.5</v>
      </c>
      <c r="K36">
        <f t="shared" si="0"/>
        <v>40.5</v>
      </c>
    </row>
    <row r="38" spans="1:11" ht="60" x14ac:dyDescent="0.25">
      <c r="F38" s="7" t="s">
        <v>17</v>
      </c>
      <c r="G38" s="7" t="s">
        <v>18</v>
      </c>
      <c r="H38" s="8" t="s">
        <v>19</v>
      </c>
      <c r="I38" s="7" t="s">
        <v>20</v>
      </c>
      <c r="J38" s="8"/>
    </row>
    <row r="39" spans="1:11" x14ac:dyDescent="0.25">
      <c r="F39" t="s">
        <v>14</v>
      </c>
      <c r="G39">
        <f>SUMIF(A3:A34, F39,G3:G34)</f>
        <v>10.5</v>
      </c>
      <c r="H39">
        <v>10</v>
      </c>
      <c r="I39">
        <f>H39-G39-G43</f>
        <v>-0.5</v>
      </c>
    </row>
    <row r="40" spans="1:11" x14ac:dyDescent="0.25">
      <c r="F40" t="s">
        <v>15</v>
      </c>
      <c r="G40">
        <f>SUMIF(A3:A34, F40,G3:G34)</f>
        <v>9.5</v>
      </c>
      <c r="H40">
        <v>10</v>
      </c>
      <c r="I40">
        <f>H40-G40-G43</f>
        <v>0.5</v>
      </c>
    </row>
    <row r="41" spans="1:11" x14ac:dyDescent="0.25">
      <c r="F41" t="s">
        <v>13</v>
      </c>
      <c r="G41">
        <f>SUMIF(A3:A34, F41,G3:G34)</f>
        <v>11.5</v>
      </c>
      <c r="H41">
        <v>10</v>
      </c>
      <c r="I41">
        <f>H41-G41-G43</f>
        <v>-1.5</v>
      </c>
    </row>
    <row r="42" spans="1:11" x14ac:dyDescent="0.25">
      <c r="F42" t="s">
        <v>16</v>
      </c>
      <c r="G42">
        <f>SUMIF(A3:A34, F42,G3:G34)</f>
        <v>9</v>
      </c>
      <c r="H42">
        <v>10</v>
      </c>
      <c r="I42">
        <f>H42-G42-G43</f>
        <v>1</v>
      </c>
    </row>
  </sheetData>
  <sortState xmlns:xlrd2="http://schemas.microsoft.com/office/spreadsheetml/2017/richdata2" ref="A3:G33">
    <sortCondition ref="D3:D33"/>
    <sortCondition ref="F3:F33"/>
  </sortState>
  <mergeCells count="8">
    <mergeCell ref="H1:K1"/>
    <mergeCell ref="G1:G2"/>
    <mergeCell ref="F1:F2"/>
    <mergeCell ref="E1:E2"/>
    <mergeCell ref="A1:A2"/>
    <mergeCell ref="D1:D2"/>
    <mergeCell ref="C1:C2"/>
    <mergeCell ref="B1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Justin Smith</cp:lastModifiedBy>
  <dcterms:created xsi:type="dcterms:W3CDTF">2015-06-05T18:17:20Z</dcterms:created>
  <dcterms:modified xsi:type="dcterms:W3CDTF">2026-04-25T04:08:41Z</dcterms:modified>
</cp:coreProperties>
</file>